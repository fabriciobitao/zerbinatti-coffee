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s Shopify" sheetId="1" state="visible" r:id="rId1"/>
    <sheet xmlns:r="http://schemas.openxmlformats.org/officeDocument/2006/relationships" name="Pagamento BR" sheetId="2" state="visible" r:id="rId2"/>
    <sheet xmlns:r="http://schemas.openxmlformats.org/officeDocument/2006/relationships" name="Infra GCP+Firebase" sheetId="3" state="visible" r:id="rId3"/>
    <sheet xmlns:r="http://schemas.openxmlformats.org/officeDocument/2006/relationships" name="Cenario Total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R$ #,##0.00"/>
    <numFmt numFmtId="166" formatCode="0.00&quot;%&quot;"/>
    <numFmt numFmtId="167" formatCode="R$ 0.00"/>
    <numFmt numFmtId="168" formatCode="R$ #,##0.00;[Red]-R$ #,##0.00"/>
  </numFmts>
  <fonts count="12">
    <font>
      <name val="Calibri"/>
      <family val="2"/>
      <color theme="1"/>
      <sz val="11"/>
      <scheme val="minor"/>
    </font>
    <font>
      <name val="Calibri"/>
      <b val="1"/>
      <color rgb="001F1611"/>
      <sz val="14"/>
    </font>
    <font>
      <i val="1"/>
      <color rgb="00666666"/>
    </font>
    <font>
      <name val="Calibri"/>
      <b val="1"/>
      <color rgb="00F4ECD8"/>
      <sz val="11"/>
    </font>
    <font>
      <b val="1"/>
    </font>
    <font>
      <b val="1"/>
      <i val="1"/>
      <color rgb="00C9A961"/>
    </font>
    <font>
      <b val="1"/>
      <sz val="12"/>
    </font>
    <font>
      <name val="Calibri"/>
      <b val="1"/>
      <color rgb="001F1611"/>
      <sz val="11"/>
    </font>
    <font>
      <b val="1"/>
      <color rgb="001F1611"/>
      <sz val="12"/>
    </font>
    <font>
      <b val="1"/>
      <color rgb="00C9A961"/>
      <sz val="12"/>
    </font>
    <font>
      <i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1611"/>
      </patternFill>
    </fill>
    <fill>
      <patternFill patternType="solid">
        <fgColor rgb="00F4ECD8"/>
      </patternFill>
    </fill>
    <fill>
      <patternFill patternType="solid">
        <fgColor rgb="00C9A96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7" fillId="4" borderId="0" pivotButton="0" quotePrefix="0" xfId="0"/>
    <xf numFmtId="165" fontId="7" fillId="4" borderId="0" applyAlignment="1" pivotButton="0" quotePrefix="0" xfId="0">
      <alignment horizontal="center" vertical="center"/>
    </xf>
    <xf numFmtId="0" fontId="4" fillId="0" borderId="0" pivotButton="0" quotePrefix="0" xfId="0"/>
    <xf numFmtId="3" fontId="0" fillId="0" borderId="1" pivotButton="0" quotePrefix="0" xfId="0"/>
    <xf numFmtId="165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wrapText="1"/>
    </xf>
    <xf numFmtId="168" fontId="0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shopify.com/pricing" TargetMode="External" Id="rId1"/><Relationship Type="http://schemas.openxmlformats.org/officeDocument/2006/relationships/hyperlink" Target="https://craftshift.com/shopify-transaction-fees-explained/" TargetMode="External" Id="rId2"/><Relationship Type="http://schemas.openxmlformats.org/officeDocument/2006/relationships/hyperlink" Target="https://cloud.google.com/run/pricing" TargetMode="External" Id="rId3"/><Relationship Type="http://schemas.openxmlformats.org/officeDocument/2006/relationships/hyperlink" Target="https://firebase.google.com/docs/hosting/usage-quotas-pricing" TargetMode="External" Id="rId4"/><Relationship Type="http://schemas.openxmlformats.org/officeDocument/2006/relationships/hyperlink" Target="https://firebase.google.com/pricing" TargetMode="External" Id="rId5"/><Relationship Type="http://schemas.openxmlformats.org/officeDocument/2006/relationships/hyperlink" Target="https://www.mercadopago.com.br/ajuda/Custos_265" TargetMode="External" Id="rId6"/><Relationship Type="http://schemas.openxmlformats.org/officeDocument/2006/relationships/hyperlink" Target="https://pagseguro.uol.com.br/para-seu-negocio/taxas-e-tarifas" TargetMode="External" Id="rId7"/><Relationship Type="http://schemas.openxmlformats.org/officeDocument/2006/relationships/hyperlink" Target="https://pagar.me/precos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26" customWidth="1" min="6" max="6"/>
    <col width="26" customWidth="1" min="7" max="7"/>
    <col width="50" customWidth="1" min="8" max="8"/>
  </cols>
  <sheetData>
    <row r="1">
      <c r="A1" s="1" t="inlineStr">
        <is>
          <t>Planos Shopify (precos USD oficiais convertidos a R$ 5,30/USD)</t>
        </is>
      </c>
    </row>
    <row r="2">
      <c r="A2" s="2" t="inlineStr">
        <is>
          <t>Atualizado: 2026-05-08 | Fonte: shopify.com/pricing</t>
        </is>
      </c>
    </row>
    <row r="4">
      <c r="A4" s="3" t="inlineStr">
        <is>
          <t>Plano</t>
        </is>
      </c>
      <c r="B4" s="3" t="inlineStr">
        <is>
          <t>Mensal (USD)</t>
        </is>
      </c>
      <c r="C4" s="3" t="inlineStr">
        <is>
          <t>Mensal (BRL)</t>
        </is>
      </c>
      <c r="D4" s="3" t="inlineStr">
        <is>
          <t>Anual (BRL)*</t>
        </is>
      </c>
      <c r="E4" s="3" t="inlineStr">
        <is>
          <t>Economia anual</t>
        </is>
      </c>
      <c r="F4" s="3" t="inlineStr">
        <is>
          <t>Taxa por venda (3rd party)</t>
        </is>
      </c>
      <c r="G4" s="3" t="inlineStr">
        <is>
          <t>Cartao via Shopify Payments</t>
        </is>
      </c>
      <c r="H4" s="3" t="inlineStr">
        <is>
          <t>Notas</t>
        </is>
      </c>
    </row>
    <row r="5">
      <c r="A5" s="4" t="inlineStr">
        <is>
          <t>Basic</t>
        </is>
      </c>
      <c r="B5" s="5" t="n">
        <v>29</v>
      </c>
      <c r="C5" s="6" t="n">
        <v>153.7</v>
      </c>
      <c r="D5" s="6" t="n">
        <v>1383.3</v>
      </c>
      <c r="E5" s="6" t="n">
        <v>461.0999999999999</v>
      </c>
      <c r="F5" s="7" t="inlineStr">
        <is>
          <t>+2.0% sobre cada venda</t>
        </is>
      </c>
      <c r="G5" s="7" t="inlineStr">
        <is>
          <t>2.9% + 30c USD</t>
        </is>
      </c>
      <c r="H5" s="8" t="inlineStr">
        <is>
          <t>Entrada. 1 loja, ate 2 staffs. Sem reports avancados.</t>
        </is>
      </c>
    </row>
    <row r="6">
      <c r="A6" s="4" t="inlineStr">
        <is>
          <t>Grow</t>
        </is>
      </c>
      <c r="B6" s="5" t="n">
        <v>79</v>
      </c>
      <c r="C6" s="6" t="n">
        <v>418.7</v>
      </c>
      <c r="D6" s="6" t="n">
        <v>3768.3</v>
      </c>
      <c r="E6" s="6" t="n">
        <v>1256.1</v>
      </c>
      <c r="F6" s="7" t="inlineStr">
        <is>
          <t>+1.0% sobre cada venda</t>
        </is>
      </c>
      <c r="G6" s="7" t="inlineStr">
        <is>
          <t>2.6% + 30c USD</t>
        </is>
      </c>
      <c r="H6" s="8" t="inlineStr">
        <is>
          <t>Antigo 'Shopify'. 5 staffs, professional reports.</t>
        </is>
      </c>
    </row>
    <row r="7">
      <c r="A7" s="4" t="inlineStr">
        <is>
          <t>Advanced</t>
        </is>
      </c>
      <c r="B7" s="5" t="n">
        <v>299</v>
      </c>
      <c r="C7" s="6" t="n">
        <v>1584.7</v>
      </c>
      <c r="D7" s="6" t="n">
        <v>14262.3</v>
      </c>
      <c r="E7" s="6" t="n">
        <v>4754.1</v>
      </c>
      <c r="F7" s="7" t="inlineStr">
        <is>
          <t>+0.6% sobre cada venda</t>
        </is>
      </c>
      <c r="G7" s="7" t="inlineStr">
        <is>
          <t>2.4% + 30c USD</t>
        </is>
      </c>
      <c r="H7" s="8" t="inlineStr">
        <is>
          <t>15 staffs, reports custom, calculated shipping.</t>
        </is>
      </c>
    </row>
    <row r="8">
      <c r="A8" s="9" t="inlineStr">
        <is>
          <t>Plus</t>
        </is>
      </c>
      <c r="B8" s="10" t="n">
        <v>2300</v>
      </c>
      <c r="C8" s="11" t="n">
        <v>12190</v>
      </c>
      <c r="D8" s="11" t="n">
        <v>109710</v>
      </c>
      <c r="E8" s="11" t="n">
        <v>36570</v>
      </c>
      <c r="F8" s="12" t="inlineStr">
        <is>
          <t>+0.2% sobre cada venda</t>
        </is>
      </c>
      <c r="G8" s="12" t="inlineStr">
        <is>
          <t>negociado</t>
        </is>
      </c>
      <c r="H8" s="13" t="inlineStr">
        <is>
          <t>Enterprise. Checkout customizavel via Liquid, multi-store. Min 12 meses.</t>
        </is>
      </c>
    </row>
    <row r="10">
      <c r="A10" s="2" t="inlineStr">
        <is>
          <t>* Anual com desconto de 25% (Basic/Grow/Advanced). Plus tem desconto custom em 3 anos.</t>
        </is>
      </c>
    </row>
    <row r="11">
      <c r="A11" s="14" t="inlineStr">
        <is>
          <t>** Shopify Payments NAO esta disponivel oficialmente no Brasil em maio/2026.</t>
        </is>
      </c>
    </row>
    <row r="12">
      <c r="A12" s="2" t="inlineStr">
        <is>
          <t xml:space="preserve">    Voce SEMPRE paga a taxa 3rd-party (Mercado Pago, PagSeguro etc) + a coluna F.</t>
        </is>
      </c>
    </row>
  </sheetData>
  <mergeCells count="5">
    <mergeCell ref="A12:H12"/>
    <mergeCell ref="A2:H2"/>
    <mergeCell ref="A10:H10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Provedores de pagamento BR (combinados com Shopify)</t>
        </is>
      </c>
    </row>
    <row r="3">
      <c r="A3" s="3" t="inlineStr">
        <is>
          <t>Provider</t>
        </is>
      </c>
      <c r="B3" s="3" t="inlineStr">
        <is>
          <t>Metodo</t>
        </is>
      </c>
      <c r="C3" s="3" t="inlineStr">
        <is>
          <t>Taxa (%)</t>
        </is>
      </c>
      <c r="D3" s="3" t="inlineStr">
        <is>
          <t>Taxa fixa (R$)</t>
        </is>
      </c>
      <c r="E3" s="3" t="inlineStr">
        <is>
          <t>Em R$ 50</t>
        </is>
      </c>
      <c r="F3" s="3" t="inlineStr">
        <is>
          <t>Em R$ 100</t>
        </is>
      </c>
      <c r="G3" s="3" t="inlineStr">
        <is>
          <t>Notas</t>
        </is>
      </c>
    </row>
    <row r="4">
      <c r="A4" s="4" t="inlineStr">
        <is>
          <t>Mercado Pago</t>
        </is>
      </c>
      <c r="B4" s="15" t="inlineStr">
        <is>
          <t>PIX</t>
        </is>
      </c>
      <c r="C4" s="16" t="n">
        <v>0.99</v>
      </c>
      <c r="D4" s="17" t="n">
        <v>0</v>
      </c>
      <c r="E4" s="17" t="n">
        <v>0.495</v>
      </c>
      <c r="F4" s="17" t="n">
        <v>0.99</v>
      </c>
      <c r="G4" s="8" t="inlineStr">
        <is>
          <t>Mais barato do BR</t>
        </is>
      </c>
    </row>
    <row r="5">
      <c r="A5" s="4" t="inlineStr">
        <is>
          <t>Mercado Pago</t>
        </is>
      </c>
      <c r="B5" s="15" t="inlineStr">
        <is>
          <t>Boleto</t>
        </is>
      </c>
      <c r="C5" s="16" t="n">
        <v>0</v>
      </c>
      <c r="D5" s="17" t="n">
        <v>3.49</v>
      </c>
      <c r="E5" s="17" t="n">
        <v>3.49</v>
      </c>
      <c r="F5" s="17" t="n">
        <v>3.49</v>
      </c>
      <c r="G5" s="8" t="inlineStr">
        <is>
          <t>Lento (~2 dias compensar)</t>
        </is>
      </c>
    </row>
    <row r="6">
      <c r="A6" s="4" t="inlineStr">
        <is>
          <t>Mercado Pago</t>
        </is>
      </c>
      <c r="B6" s="15" t="inlineStr">
        <is>
          <t>Cartao 1x</t>
        </is>
      </c>
      <c r="C6" s="16" t="n">
        <v>4.99</v>
      </c>
      <c r="D6" s="17" t="n">
        <v>0</v>
      </c>
      <c r="E6" s="17" t="n">
        <v>2.495</v>
      </c>
      <c r="F6" s="17" t="n">
        <v>4.99</v>
      </c>
      <c r="G6" s="8" t="inlineStr">
        <is>
          <t>Recebe em 14d (D+14)</t>
        </is>
      </c>
    </row>
    <row r="7">
      <c r="A7" s="4" t="inlineStr">
        <is>
          <t>Mercado Pago</t>
        </is>
      </c>
      <c r="B7" s="15" t="inlineStr">
        <is>
          <t>Cartao 2-12x</t>
        </is>
      </c>
      <c r="C7" s="16" t="n">
        <v>5.31</v>
      </c>
      <c r="D7" s="17" t="n">
        <v>0</v>
      </c>
      <c r="E7" s="17" t="n">
        <v>2.655</v>
      </c>
      <c r="F7" s="17" t="n">
        <v>5.31</v>
      </c>
      <c r="G7" s="8" t="inlineStr">
        <is>
          <t>+1.5% por parcela alem de 1x</t>
        </is>
      </c>
    </row>
    <row r="8">
      <c r="A8" s="4" t="inlineStr">
        <is>
          <t>PagSeguro</t>
        </is>
      </c>
      <c r="B8" s="15" t="inlineStr">
        <is>
          <t>PIX</t>
        </is>
      </c>
      <c r="C8" s="16" t="n">
        <v>0.99</v>
      </c>
      <c r="D8" s="17" t="n">
        <v>0</v>
      </c>
      <c r="E8" s="17" t="n">
        <v>0.495</v>
      </c>
      <c r="F8" s="17" t="n">
        <v>0.99</v>
      </c>
      <c r="G8" s="8" t="inlineStr"/>
    </row>
    <row r="9">
      <c r="A9" s="4" t="inlineStr">
        <is>
          <t>PagSeguro</t>
        </is>
      </c>
      <c r="B9" s="15" t="inlineStr">
        <is>
          <t>Boleto</t>
        </is>
      </c>
      <c r="C9" s="16" t="n">
        <v>0</v>
      </c>
      <c r="D9" s="17" t="n">
        <v>3.99</v>
      </c>
      <c r="E9" s="17" t="n">
        <v>3.99</v>
      </c>
      <c r="F9" s="17" t="n">
        <v>3.99</v>
      </c>
      <c r="G9" s="8" t="inlineStr"/>
    </row>
    <row r="10">
      <c r="A10" s="4" t="inlineStr">
        <is>
          <t>PagSeguro</t>
        </is>
      </c>
      <c r="B10" s="15" t="inlineStr">
        <is>
          <t>Cartao 1x</t>
        </is>
      </c>
      <c r="C10" s="16" t="n">
        <v>4.39</v>
      </c>
      <c r="D10" s="17" t="n">
        <v>0.4</v>
      </c>
      <c r="E10" s="17" t="n">
        <v>2.595</v>
      </c>
      <c r="F10" s="17" t="n">
        <v>4.79</v>
      </c>
      <c r="G10" s="8" t="inlineStr">
        <is>
          <t>+0.40 fixo por venda</t>
        </is>
      </c>
    </row>
    <row r="11">
      <c r="A11" s="4" t="inlineStr">
        <is>
          <t>Pagar.me</t>
        </is>
      </c>
      <c r="B11" s="15" t="inlineStr">
        <is>
          <t>PIX</t>
        </is>
      </c>
      <c r="C11" s="16" t="n">
        <v>0.99</v>
      </c>
      <c r="D11" s="17" t="n">
        <v>0</v>
      </c>
      <c r="E11" s="17" t="n">
        <v>0.495</v>
      </c>
      <c r="F11" s="17" t="n">
        <v>0.99</v>
      </c>
      <c r="G11" s="8" t="inlineStr">
        <is>
          <t>Stone — D+1</t>
        </is>
      </c>
    </row>
    <row r="12">
      <c r="A12" s="4" t="inlineStr">
        <is>
          <t>Pagar.me</t>
        </is>
      </c>
      <c r="B12" s="15" t="inlineStr">
        <is>
          <t>Cartao</t>
        </is>
      </c>
      <c r="C12" s="16" t="n">
        <v>3.19</v>
      </c>
      <c r="D12" s="17" t="n">
        <v>0.4</v>
      </c>
      <c r="E12" s="17" t="n">
        <v>1.995</v>
      </c>
      <c r="F12" s="17" t="n">
        <v>3.59</v>
      </c>
      <c r="G12" s="8" t="inlineStr">
        <is>
          <t>Mais barato; +2.49%/parcela</t>
        </is>
      </c>
    </row>
    <row r="13">
      <c r="A13" s="4" t="inlineStr">
        <is>
          <t>Stripe BR</t>
        </is>
      </c>
      <c r="B13" s="15" t="inlineStr">
        <is>
          <t>Cartao internacional</t>
        </is>
      </c>
      <c r="C13" s="16" t="n">
        <v>4.99</v>
      </c>
      <c r="D13" s="17" t="n">
        <v>0</v>
      </c>
      <c r="E13" s="17" t="n">
        <v>2.495</v>
      </c>
      <c r="F13" s="17" t="n">
        <v>4.99</v>
      </c>
      <c r="G13" s="8" t="inlineStr">
        <is>
          <t>Sem PIX nem boleto</t>
        </is>
      </c>
    </row>
    <row r="15">
      <c r="A15" s="2" t="inlineStr">
        <is>
          <t>Recomendacao: ativar Mercado Pago no Shopify -&gt; oferece PIX (~1%), Boleto e Cartao.</t>
        </is>
      </c>
    </row>
    <row r="16">
      <c r="A16" s="2" t="inlineStr">
        <is>
          <t>Mix tipico BR e-commerce: 45% Cartao / 35% PIX / 15% Boleto / 5% Outros = ~3% medio sobre receita.</t>
        </is>
      </c>
    </row>
  </sheetData>
  <mergeCells count="3">
    <mergeCell ref="A16:G16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Custo de infra para 15k-30k MUU/mes (Cloud Run + Firebase Hosting + Firestore)</t>
        </is>
      </c>
    </row>
    <row r="3">
      <c r="A3" s="18" t="inlineStr">
        <is>
          <t>Premissas de trafego</t>
        </is>
      </c>
    </row>
    <row r="4">
      <c r="A4" s="19" t="inlineStr">
        <is>
          <t>Page views por usuario (estimado)</t>
        </is>
      </c>
      <c r="B4" t="n">
        <v>5</v>
      </c>
    </row>
    <row r="5">
      <c r="A5" s="19" t="inlineStr">
        <is>
          <t>KB por page view (HTML+JS+CSS, sem imagens cacheadas)</t>
        </is>
      </c>
      <c r="B5" t="n">
        <v>150</v>
      </c>
    </row>
    <row r="6">
      <c r="A6" s="19" t="inlineStr">
        <is>
          <t>API calls Shopify por page (Storefront + cart)</t>
        </is>
      </c>
      <c r="B6" t="n">
        <v>1.5</v>
      </c>
    </row>
    <row r="7">
      <c r="A7" s="19" t="inlineStr">
        <is>
          <t>Form B2B submissoes/mes (Firestore writes)</t>
        </is>
      </c>
      <c r="B7" t="n">
        <v>50</v>
      </c>
    </row>
    <row r="10">
      <c r="A10" s="18" t="inlineStr">
        <is>
          <t>Cenarios</t>
        </is>
      </c>
    </row>
    <row r="11">
      <c r="A11" s="20" t="inlineStr">
        <is>
          <t>Servico</t>
        </is>
      </c>
      <c r="B11" s="21" t="inlineStr">
        <is>
          <t>Baixo (k MUU)</t>
        </is>
      </c>
      <c r="C11" s="21" t="inlineStr">
        <is>
          <t>Medio (k MUU)</t>
        </is>
      </c>
      <c r="D11" s="21" t="inlineStr">
        <is>
          <t>Alto (k MUU)</t>
        </is>
      </c>
    </row>
    <row r="12">
      <c r="A12" t="inlineStr">
        <is>
          <t>Cloud Run (compute)</t>
        </is>
      </c>
      <c r="B12" s="22" t="n">
        <v>0</v>
      </c>
      <c r="C12" s="22" t="n">
        <v>0</v>
      </c>
      <c r="D12" s="22" t="n">
        <v>0</v>
      </c>
    </row>
    <row r="13">
      <c r="A13" t="inlineStr">
        <is>
          <t>Firebase Hosting (CDN bandwidth)</t>
        </is>
      </c>
      <c r="B13" s="22" t="n">
        <v>0.5794246673583984</v>
      </c>
      <c r="C13" s="22" t="n">
        <v>4.844137001037597</v>
      </c>
      <c r="D13" s="22" t="n">
        <v>9.108849334716796</v>
      </c>
    </row>
    <row r="14">
      <c r="A14" t="inlineStr">
        <is>
          <t>Firestore (B2B forms)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TOTAL infra/mes</t>
        </is>
      </c>
      <c r="B15" s="24">
        <f>SUM(B12:B14)</f>
        <v/>
      </c>
      <c r="C15" s="24">
        <f>SUM(C12:C14)</f>
        <v/>
      </c>
      <c r="D15" s="24">
        <f>SUM(D12:D14)</f>
        <v/>
      </c>
    </row>
    <row r="17">
      <c r="A17" s="25" t="inlineStr">
        <is>
          <t>Observacoes:</t>
        </is>
      </c>
    </row>
    <row r="18">
      <c r="A18" s="2" t="inlineStr">
        <is>
          <t>- Cloud Run: $0.40/M requests, $0.000018/vCPU-s, $0.000002/GiB-s (post free tier).</t>
        </is>
      </c>
    </row>
    <row r="19">
      <c r="A19" s="2" t="inlineStr">
        <is>
          <t>- Firebase Hosting: 10 GB/mes free; depois $0.15/GB cached, $0.20/GB uncached.</t>
        </is>
      </c>
    </row>
    <row r="20">
      <c r="A20" s="2" t="inlineStr">
        <is>
          <t>- Firestore: 20k writes/dia free, 50k reads/dia free. Form B2B esta dentro do free tier.</t>
        </is>
      </c>
    </row>
    <row r="21">
      <c r="A21" s="2" t="inlineStr">
        <is>
          <t>- NAO inclui custos de imagens (CDN Shopify hospeda) nem video (Vimeo).</t>
        </is>
      </c>
    </row>
    <row r="22">
      <c r="A22" s="2" t="inlineStr">
        <is>
          <t>- Cold start Cloud Run: scale-to-zero pode ter latencia 1-2s no primeiro hit; ok pra esse volume.</t>
        </is>
      </c>
    </row>
  </sheetData>
  <mergeCells count="6">
    <mergeCell ref="A1:G1"/>
    <mergeCell ref="A18:G18"/>
    <mergeCell ref="A21:G21"/>
    <mergeCell ref="A22:G22"/>
    <mergeCell ref="A20:G20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Custo total de plataforma por mes (Shopify + Pagamento + Infra)</t>
        </is>
      </c>
    </row>
    <row r="3">
      <c r="A3" s="25" t="inlineStr">
        <is>
          <t>Premissas:</t>
        </is>
      </c>
    </row>
    <row r="4">
      <c r="A4" s="2" t="inlineStr">
        <is>
          <t>- Conversao 1.5% (e-commerce maturo BR ~1-2%)</t>
        </is>
      </c>
    </row>
    <row r="5">
      <c r="A5" s="2" t="inlineStr">
        <is>
          <t>- Ticket medio R$ 65 (mix 250g R$ 49.90 / 500g R$ 79.90)</t>
        </is>
      </c>
    </row>
    <row r="6">
      <c r="A6" s="2" t="inlineStr">
        <is>
          <t>- Mix de pagamento: 45% Cartao Mercado Pago, 35% PIX, 15% Boleto, 5% outros</t>
        </is>
      </c>
    </row>
    <row r="7">
      <c r="A7" s="2" t="inlineStr">
        <is>
          <t>- Taxa media efetiva por venda: 3.0% sobre receita (cartao 5% × 0.45 + PIX 1% × 0.35 + boleto fixo)</t>
        </is>
      </c>
    </row>
    <row r="9">
      <c r="A9" s="18" t="inlineStr">
        <is>
          <t>Cenario por trafego mensal</t>
        </is>
      </c>
    </row>
    <row r="10">
      <c r="A10" s="3" t="inlineStr">
        <is>
          <t>Trafego (MUU)</t>
        </is>
      </c>
      <c r="B10" s="3" t="inlineStr">
        <is>
          <t>Pedidos/mes</t>
        </is>
      </c>
      <c r="C10" s="3" t="inlineStr">
        <is>
          <t>Receita bruta</t>
        </is>
      </c>
      <c r="D10" s="3" t="inlineStr">
        <is>
          <t>Shopify Basic anual/mes</t>
        </is>
      </c>
      <c r="E10" s="3" t="inlineStr">
        <is>
          <t>Taxa pagamento (3%)</t>
        </is>
      </c>
      <c r="F10" s="3" t="inlineStr">
        <is>
          <t>Infra GCP+Firebase</t>
        </is>
      </c>
      <c r="G10" s="3" t="inlineStr">
        <is>
          <t>TOTAL plataforma/mes</t>
        </is>
      </c>
    </row>
    <row r="11">
      <c r="A11" s="7" t="inlineStr">
        <is>
          <t>15,000 (Baixo)</t>
        </is>
      </c>
      <c r="B11" s="26" t="n">
        <v>225</v>
      </c>
      <c r="C11" s="6" t="n">
        <v>14625</v>
      </c>
      <c r="D11" s="6" t="n">
        <v>115.275</v>
      </c>
      <c r="E11" s="6" t="n">
        <v>731.25</v>
      </c>
      <c r="F11" s="6" t="n">
        <v>0</v>
      </c>
      <c r="G11" s="27" t="n">
        <v>846.525</v>
      </c>
    </row>
    <row r="12">
      <c r="A12" s="7" t="inlineStr">
        <is>
          <t>22,500 (Medio)</t>
        </is>
      </c>
      <c r="B12" s="26" t="n">
        <v>337.5</v>
      </c>
      <c r="C12" s="6" t="n">
        <v>21937.5</v>
      </c>
      <c r="D12" s="6" t="n">
        <v>115.275</v>
      </c>
      <c r="E12" s="6" t="n">
        <v>1096.875</v>
      </c>
      <c r="F12" s="6" t="n">
        <v>1.5</v>
      </c>
      <c r="G12" s="27" t="n">
        <v>1213.65</v>
      </c>
    </row>
    <row r="13">
      <c r="A13" s="7" t="inlineStr">
        <is>
          <t>30,000 (Alto)</t>
        </is>
      </c>
      <c r="B13" s="26" t="n">
        <v>450</v>
      </c>
      <c r="C13" s="6" t="n">
        <v>29250</v>
      </c>
      <c r="D13" s="6" t="n">
        <v>115.275</v>
      </c>
      <c r="E13" s="6" t="n">
        <v>1462.5</v>
      </c>
      <c r="F13" s="6" t="n">
        <v>4.5</v>
      </c>
      <c r="G13" s="27" t="n">
        <v>1582.275</v>
      </c>
    </row>
    <row r="14">
      <c r="A14" s="2" t="inlineStr">
        <is>
          <t>* Pagamento total inclui gateway BR (3% medio) + taxa Shopify por plano (2.0% pro Basic).</t>
        </is>
      </c>
    </row>
    <row r="16">
      <c r="A16" s="28" t="inlineStr">
        <is>
          <t>Comparativo entre planos Shopify (mesmos cenarios de trafego)</t>
        </is>
      </c>
    </row>
    <row r="17" ht="30" customHeight="1">
      <c r="A17" s="29" t="inlineStr">
        <is>
          <t>Trafego (MUU)</t>
        </is>
      </c>
      <c r="B17" s="29" t="inlineStr">
        <is>
          <t>Receita bruta</t>
        </is>
      </c>
      <c r="C17" s="29" t="inlineStr">
        <is>
          <t>Custo TOTAL Basic</t>
        </is>
      </c>
      <c r="D17" s="29" t="inlineStr">
        <is>
          <t>Custo TOTAL Grow</t>
        </is>
      </c>
      <c r="E17" s="29" t="inlineStr">
        <is>
          <t>Custo TOTAL Advanced</t>
        </is>
      </c>
      <c r="F17" s="29" t="inlineStr">
        <is>
          <t>Economia Grow vs Basic</t>
        </is>
      </c>
      <c r="G17" s="29" t="inlineStr">
        <is>
          <t>Economia Adv vs Basic</t>
        </is>
      </c>
    </row>
    <row r="18">
      <c r="A18" s="7" t="inlineStr">
        <is>
          <t>15,000 (Baixo)</t>
        </is>
      </c>
      <c r="B18" s="6" t="n">
        <v>14625</v>
      </c>
      <c r="C18" s="27" t="n">
        <v>846.525</v>
      </c>
      <c r="D18" s="6" t="n">
        <v>899.025</v>
      </c>
      <c r="E18" s="6" t="n">
        <v>1715.025</v>
      </c>
      <c r="F18" s="30" t="n">
        <v>-52.5</v>
      </c>
      <c r="G18" s="30" t="n">
        <v>-868.5000000000001</v>
      </c>
    </row>
    <row r="19">
      <c r="A19" s="7" t="inlineStr">
        <is>
          <t>22,500 (Medio)</t>
        </is>
      </c>
      <c r="B19" s="6" t="n">
        <v>21937.5</v>
      </c>
      <c r="C19" s="6" t="n">
        <v>1213.65</v>
      </c>
      <c r="D19" s="27" t="n">
        <v>1193.025</v>
      </c>
      <c r="E19" s="6" t="n">
        <v>1979.775</v>
      </c>
      <c r="F19" s="30" t="n">
        <v>20.625</v>
      </c>
      <c r="G19" s="30" t="n">
        <v>-766.125</v>
      </c>
    </row>
    <row r="20">
      <c r="A20" s="7" t="inlineStr">
        <is>
          <t>30,000 (Alto)</t>
        </is>
      </c>
      <c r="B20" s="6" t="n">
        <v>29250</v>
      </c>
      <c r="C20" s="6" t="n">
        <v>1582.275</v>
      </c>
      <c r="D20" s="27" t="n">
        <v>1488.525</v>
      </c>
      <c r="E20" s="6" t="n">
        <v>2246.025</v>
      </c>
      <c r="F20" s="30" t="n">
        <v>93.75</v>
      </c>
      <c r="G20" s="30" t="n">
        <v>-663.75</v>
      </c>
    </row>
    <row r="22">
      <c r="A22" s="31" t="inlineStr">
        <is>
          <t>Quando vale subir de plano (break-even)</t>
        </is>
      </c>
    </row>
    <row r="23">
      <c r="A23" s="32" t="inlineStr">
        <is>
          <t>Grow vale a pena acima de R$ 19,875 de receita/mes (mensalidade extra: R$ 199, economia 1.0% por venda)</t>
        </is>
      </c>
    </row>
    <row r="24">
      <c r="A24" s="32" t="inlineStr">
        <is>
          <t>Advanced vale a pena acima de R$ 76,661 de receita/mes (mensalidade extra: R$ 1,073, economia 1.4% por venda)</t>
        </is>
      </c>
    </row>
    <row r="25">
      <c r="A25" s="2" t="inlineStr">
        <is>
          <t>Beneficios nao-financeiros do Grow: 5 staffs (vs 2 Basic), reports profissionais, retencao de carrinho abandonado.</t>
        </is>
      </c>
    </row>
  </sheetData>
  <mergeCells count="11">
    <mergeCell ref="A14:G14"/>
    <mergeCell ref="A1:G1"/>
    <mergeCell ref="A6:G6"/>
    <mergeCell ref="A22:G22"/>
    <mergeCell ref="A4:G4"/>
    <mergeCell ref="A24:G24"/>
    <mergeCell ref="A16:G16"/>
    <mergeCell ref="A7:G7"/>
    <mergeCell ref="A25:G25"/>
    <mergeCell ref="A5:G5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Fontes e premissas</t>
        </is>
      </c>
    </row>
    <row r="3">
      <c r="A3" s="20" t="inlineStr">
        <is>
          <t>Servico</t>
        </is>
      </c>
      <c r="B3" s="20" t="inlineStr">
        <is>
          <t>URL</t>
        </is>
      </c>
    </row>
    <row r="4">
      <c r="A4" t="inlineStr">
        <is>
          <t>Shopify Pricing</t>
        </is>
      </c>
      <c r="B4" s="33" t="inlineStr">
        <is>
          <t>https://www.shopify.com/pricing</t>
        </is>
      </c>
    </row>
    <row r="5">
      <c r="A5" t="inlineStr">
        <is>
          <t>Shopify transaction fees explained 2026</t>
        </is>
      </c>
      <c r="B5" s="33" t="inlineStr">
        <is>
          <t>https://craftshift.com/shopify-transaction-fees-explained/</t>
        </is>
      </c>
    </row>
    <row r="6">
      <c r="A6" t="inlineStr">
        <is>
          <t>Cloud Run pricing</t>
        </is>
      </c>
      <c r="B6" s="33" t="inlineStr">
        <is>
          <t>https://cloud.google.com/run/pricing</t>
        </is>
      </c>
    </row>
    <row r="7">
      <c r="A7" t="inlineStr">
        <is>
          <t>Firebase Hosting pricing</t>
        </is>
      </c>
      <c r="B7" s="33" t="inlineStr">
        <is>
          <t>https://firebase.google.com/docs/hosting/usage-quotas-pricing</t>
        </is>
      </c>
    </row>
    <row r="8">
      <c r="A8" t="inlineStr">
        <is>
          <t>Firebase pricing plans</t>
        </is>
      </c>
      <c r="B8" s="33" t="inlineStr">
        <is>
          <t>https://firebase.google.com/pricing</t>
        </is>
      </c>
    </row>
    <row r="9">
      <c r="A9" t="inlineStr">
        <is>
          <t>Mercado Pago taxas</t>
        </is>
      </c>
      <c r="B9" s="33" t="inlineStr">
        <is>
          <t>https://www.mercadopago.com.br/ajuda/Custos_265</t>
        </is>
      </c>
    </row>
    <row r="10">
      <c r="A10" t="inlineStr">
        <is>
          <t>PagSeguro taxas</t>
        </is>
      </c>
      <c r="B10" s="33" t="inlineStr">
        <is>
          <t>https://pagseguro.uol.com.br/para-seu-negocio/taxas-e-tarifas</t>
        </is>
      </c>
    </row>
    <row r="11">
      <c r="A11" t="inlineStr">
        <is>
          <t>Pagar.me taxas</t>
        </is>
      </c>
      <c r="B11" s="33" t="inlineStr">
        <is>
          <t>https://pagar.me/precos</t>
        </is>
      </c>
    </row>
    <row r="14">
      <c r="A14" s="32" t="inlineStr">
        <is>
          <t>Cotacao USD/BRL utilizada: R$ 5,30 (referencia maio/2026).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2026-05-08T22:56:21Z</dcterms:created>
  <dcterms:modified xmlns:dcterms="http://purl.org/dc/terms/" xmlns:xsi="http://www.w3.org/2001/XMLSchema-instance" xsi:type="dcterms:W3CDTF">2026-05-08T22:56:21Z</dcterms:modified>
</cp:coreProperties>
</file>